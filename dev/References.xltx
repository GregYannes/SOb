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3FD28B42-2864-AD43-A044-1AF85E90354D}" xr6:coauthVersionLast="47" xr6:coauthVersionMax="47" xr10:uidLastSave="{00000000-0000-0000-0000-000000000000}"/>
  <bookViews>
    <workbookView xWindow="0" yWindow="500" windowWidth="28040" windowHeight="16940" xr2:uid="{3675C65B-6B49-CC41-B0BF-3883A21444BF}"/>
  </bookViews>
  <sheets>
    <sheet name="Input" sheetId="1" r:id="rId1"/>
    <sheet name="Bibliography" sheetId="5" r:id="rId2"/>
    <sheet name="Output" sheetId="14" r:id="rId3"/>
  </sheets>
  <definedNames>
    <definedName name="Bibliography.Data">Bibliography[#Data]</definedName>
    <definedName name="Bibliography.Headers">Bibliography[#Headers]</definedName>
    <definedName name="ExternalData_1" localSheetId="1" hidden="1">Bibliography!$A$2:$Q$3</definedName>
    <definedName name="ExternalData_2" localSheetId="2" hidden="1">Output!$A$2:$A$3</definedName>
    <definedName name="LINK_SYM">"⇱"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5" l="1"/>
  <c r="D4" i="5"/>
  <c r="G4" i="5"/>
  <c r="J4" i="5"/>
  <c r="K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C606E1-97DC-CC44-91B9-389314822E52}" keepAlive="1" name="Query - @Bibliography" description="Connection to the '@Bibliography' query in the workbook." type="5" refreshedVersion="8" background="1" saveData="1">
    <dbPr connection="Provider=Microsoft.Mashup.OleDb.1;Data Source=$Workbook$;Location=@Bibliography;Extended Properties=&quot;&quot;" command="SELECT * FROM [@Bibliography]"/>
  </connection>
  <connection id="2" xr16:uid="{7902D7F6-C424-454B-A234-63E56C9943CE}" keepAlive="1" name="Query - @Bibliography_Export" description="Connection to the '@Bibliography_Export' query in the workbook." type="5" refreshedVersion="8" background="1" saveData="1">
    <dbPr connection="Provider=Microsoft.Mashup.OleDb.1;Data Source=$Workbook$;Location=@Bibliography_Export;Extended Properties=&quot;&quot;" command="SELECT * FROM [@Bibliography_Export]"/>
  </connection>
  <connection id="3" xr16:uid="{11F1742D-2B19-3544-A3EC-CD31484BE0B0}" keepAlive="1" name="Query - @Links_Export" description="Connection to the '@Links_Export' query in the workbook." type="5" refreshedVersion="8" background="1" saveData="1">
    <dbPr connection="Provider=Microsoft.Mashup.OleDb.1;Data Source=$Workbook$;Location=@Links_Export;Extended Properties=&quot;&quot;" command="SELECT * FROM [@Links_Export]"/>
  </connection>
  <connection id="4" xr16:uid="{B8917765-AA68-864B-9DCE-0B7D4E45974A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5" xr16:uid="{EAE8520D-D8E3-8143-B1FE-9FF7CAB6284F}" keepAlive="1" name="Query - Bibliography_Components(1)" description="Connection to the 'Bibliography_Components' query in the workbook." type="5" refreshedVersion="8" background="1" saveData="1">
    <dbPr connection="Provider=Microsoft.Mashup.OleDb.1;Data Source=$Workbook$;Location=Bibliography_Components;Extended Properties=&quot;&quot;" command="SELECT * FROM [Bibliography_Components]"/>
  </connection>
  <connection id="6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7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8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9" xr16:uid="{79F81A10-A4A0-A447-819D-691BED4DD286}" keepAlive="1" name="Query - Link_Components" description="Connection to the 'Link_Components' query in the workbook." type="5" refreshedVersion="8" background="1" saveData="1">
    <dbPr connection="Provider=Microsoft.Mashup.OleDb.1;Data Source=$Workbook$;Location=Link_Components;Extended Properties=&quot;&quot;" command="SELECT * FROM [Link_Components]"/>
  </connection>
  <connection id="10" xr16:uid="{06EE971D-8894-AE4E-834C-3B0D5105D700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1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2" xr16:uid="{174ACE4C-1605-B845-88C9-B818257714E8}" keepAlive="1" name="Query - Output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3" xr16:uid="{9647877C-4B56-944C-8CFA-41AC491127C4}" keepAlive="1" name="Query - Output_Lines" description="Connection to the 'Output_Lines' query in the workbook." type="5" refreshedVersion="0" background="1">
    <dbPr connection="Provider=Microsoft.Mashup.OleDb.1;Data Source=$Workbook$;Location=Output_Lines;Extended Properties=&quot;&quot;" command="SELECT * FROM [Output_Lines]"/>
  </connection>
  <connection id="14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5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16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17" xr16:uid="{DB9EAD66-D32C-364C-A757-457B90899A2C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</connections>
</file>

<file path=xl/sharedStrings.xml><?xml version="1.0" encoding="utf-8"?>
<sst xmlns="http://schemas.openxmlformats.org/spreadsheetml/2006/main" count="25" uniqueCount="21">
  <si>
    <t>Bibliography</t>
  </si>
  <si>
    <t>Links</t>
  </si>
  <si>
    <t>Label</t>
  </si>
  <si>
    <t>Order</t>
  </si>
  <si>
    <t>URL</t>
  </si>
  <si>
    <t>Reference</t>
  </si>
  <si>
    <t>Start</t>
  </si>
  <si>
    <t>End</t>
  </si>
  <si>
    <t>Earliest Order</t>
  </si>
  <si>
    <t>Link Orders</t>
  </si>
  <si>
    <t>Link Labels</t>
  </si>
  <si>
    <t>Link Displays</t>
  </si>
  <si>
    <t>Link Starts</t>
  </si>
  <si>
    <t>Link Ends</t>
  </si>
  <si>
    <t>Earliest Link</t>
  </si>
  <si>
    <t>Earliest Position</t>
  </si>
  <si>
    <t>Link Count</t>
  </si>
  <si>
    <t>Total</t>
  </si>
  <si>
    <t>Export</t>
  </si>
  <si>
    <t>Output</t>
  </si>
  <si>
    <t>Visit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</si>
</sst>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/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0" fillId="0" borderId="0" xfId="0" applyAlignment="1">
      <alignment vertical="top"/>
    </xf>
    <xf numFmtId="3" fontId="0" fillId="0" borderId="0" xfId="0" applyNumberFormat="1" applyAlignment="1">
      <alignment horizontal="left" vertical="top"/>
    </xf>
    <xf numFmtId="0" fontId="4" fillId="4" borderId="1" xfId="1" applyFont="1" applyFill="1" applyBorder="1" applyAlignment="1">
      <alignment horizontal="center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42"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left" vertical="top" textRotation="0" wrapText="0" indent="0" justifyLastLine="0" shrinkToFit="0" readingOrder="0"/>
    </dxf>
    <dxf>
      <numFmt numFmtId="3" formatCode="#,##0"/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alignment horizontal="righ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right" vertical="top" textRotation="0" wrapText="1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2A0593E-9EC2-F64F-8126-D8BC8C81482A}" autoFormatId="16" applyNumberFormats="0" applyBorderFormats="0" applyFontFormats="0" applyPatternFormats="0" applyAlignmentFormats="0" applyWidthHeightFormats="0">
  <queryTableRefresh nextId="40">
    <queryTableFields count="17">
      <queryTableField id="1" name="Order" tableColumnId="1"/>
      <queryTableField id="2" name="Label" tableColumnId="2"/>
      <queryTableField id="39" dataBound="0" tableColumnId="10"/>
      <queryTableField id="25" name="Link Count" tableColumnId="5"/>
      <queryTableField id="11" name="Earliest Order" tableColumnId="11"/>
      <queryTableField id="20" name="Earliest Link" tableColumnId="20"/>
      <queryTableField id="21" name="Earliest Position" tableColumnId="21"/>
      <queryTableField id="3" name="URL" tableColumnId="3"/>
      <queryTableField id="4" name="Reference" tableColumnId="4"/>
      <queryTableField id="8" name="Start" tableColumnId="8"/>
      <queryTableField id="9" name="End" tableColumnId="9"/>
      <queryTableField id="13" name="Link Orders" tableColumnId="13"/>
      <queryTableField id="14" name="Link Labels" tableColumnId="14"/>
      <queryTableField id="15" name="Link Displays" tableColumnId="15"/>
      <queryTableField id="19" name="Links" tableColumnId="19"/>
      <queryTableField id="17" name="Link Starts" tableColumnId="17"/>
      <queryTableField id="18" name="Link Ends" tableColumnId="18"/>
    </queryTableFields>
    <queryTableDeletedFields count="1">
      <deletedField name="New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9D5DC9E8-C72A-C24E-A05E-DD9AB1F35FFB}" autoFormatId="16" applyNumberFormats="0" applyBorderFormats="0" applyFontFormats="0" applyPatternFormats="0" applyAlignmentFormats="0" applyWidthHeightFormats="0">
  <queryTableRefresh nextId="19">
    <queryTableFields count="1">
      <queryTableField id="18" name="Output" tableColumnId="1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01E4E-47D6-E74E-B5A3-BAF1BBEA620C}" name="Bibliography_Export" displayName="Bibliography_Export" ref="A2:A3" insertRow="1" totalsRowShown="0" dataDxfId="41">
  <autoFilter ref="A2:A3" xr:uid="{02901E4E-47D6-E74E-B5A3-BAF1BBEA620C}"/>
  <tableColumns count="1">
    <tableColumn id="1" xr3:uid="{06ECABFB-EB42-0E44-AD3A-3B143811C90A}" name="Export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2F404B-8BC2-BB4E-B1DB-3DB8AF38D9FF}" name="Links_Export" displayName="Links_Export" ref="C2:C3" insertRow="1" totalsRowShown="0" dataDxfId="39">
  <autoFilter ref="C2:C3" xr:uid="{042F404B-8BC2-BB4E-B1DB-3DB8AF38D9FF}"/>
  <tableColumns count="1">
    <tableColumn id="1" xr3:uid="{830F85BE-7F0D-5849-8517-EC39514009C1}" name="Export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02C3F7-ACA2-C446-A7C0-FEA71EB0051F}" name="Bibliography" displayName="Bibliography" ref="A2:Q4" tableType="queryTable" insertRow="1" totalsRowCount="1" dataDxfId="37">
  <autoFilter ref="A2:Q3" xr:uid="{5202C3F7-ACA2-C446-A7C0-FEA71EB0051F}"/>
  <sortState xmlns:xlrd2="http://schemas.microsoft.com/office/spreadsheetml/2017/richdata2" ref="A3:Q3">
    <sortCondition ref="G2:G3"/>
  </sortState>
  <tableColumns count="17">
    <tableColumn id="1" xr3:uid="{89F6DDC7-C540-FD49-A45E-B19E56F89DAC}" uniqueName="1" name="Order" totalsRowLabel="Total" queryTableFieldId="1" dataDxfId="36" totalsRowDxfId="16"/>
    <tableColumn id="2" xr3:uid="{43FF4823-82E4-BC4A-AD9D-27E93FDFF990}" uniqueName="2" name="Label" totalsRowFunction="count" queryTableFieldId="2" dataDxfId="35" totalsRowDxfId="15"/>
    <tableColumn id="10" xr3:uid="{472ADDFE-637D-E54B-A021-482F64093C4E}" uniqueName="10" name="Visit" queryTableFieldId="39" dataDxfId="34" totalsRowDxfId="14" dataCellStyle="Hyperlink">
      <calculatedColumnFormula xml:space="preserve"> HYPERLINK(Bibliography[[#This Row],[URL]], LINK_SYM)</calculatedColumnFormula>
    </tableColumn>
    <tableColumn id="5" xr3:uid="{2BC9D818-2E54-EA44-AE72-FA51D703B3A2}" uniqueName="5" name="Link Count" totalsRowFunction="sum" queryTableFieldId="25" dataDxfId="33" totalsRowDxfId="13"/>
    <tableColumn id="11" xr3:uid="{9A145B76-3FB4-2A4D-B625-B7EDEC3DB595}" uniqueName="11" name="Earliest Order" queryTableFieldId="11" dataDxfId="32" totalsRowDxfId="12"/>
    <tableColumn id="20" xr3:uid="{9D632D26-CA4A-A04B-AC37-C8998186C2EC}" uniqueName="20" name="Earliest Link" queryTableFieldId="20" dataDxfId="31" totalsRowDxfId="11"/>
    <tableColumn id="21" xr3:uid="{8870D25D-5E2C-C848-811C-7663B3E3F539}" uniqueName="21" name="Earliest Position" totalsRowFunction="min" queryTableFieldId="21" dataDxfId="30" totalsRowDxfId="10"/>
    <tableColumn id="3" xr3:uid="{27144607-B189-D549-85FB-1F111B8E5630}" uniqueName="3" name="URL" queryTableFieldId="3" dataDxfId="29" totalsRowDxfId="9"/>
    <tableColumn id="4" xr3:uid="{68FF4418-7DCE-B14D-AD03-D34739B750A8}" uniqueName="4" name="Reference" queryTableFieldId="4" dataDxfId="28" totalsRowDxfId="8"/>
    <tableColumn id="8" xr3:uid="{CBADA323-9729-A845-B7BE-19C0B1030D01}" uniqueName="8" name="Start" totalsRowFunction="min" queryTableFieldId="8" dataDxfId="27" totalsRowDxfId="7"/>
    <tableColumn id="9" xr3:uid="{BCF1319C-CBC4-FE4B-818A-7FFCC77CE27B}" uniqueName="9" name="End" totalsRowFunction="max" queryTableFieldId="9" dataDxfId="26" totalsRowDxfId="6"/>
    <tableColumn id="13" xr3:uid="{07C4F3CD-65B2-1549-B65D-B0430F484716}" uniqueName="13" name="Link Orders" queryTableFieldId="13" dataDxfId="25" totalsRowDxfId="5"/>
    <tableColumn id="14" xr3:uid="{BE40F95B-3BA2-6B48-95E3-D9D3850593D2}" uniqueName="14" name="Link Labels" queryTableFieldId="14" dataDxfId="24" totalsRowDxfId="4"/>
    <tableColumn id="15" xr3:uid="{43FE8816-F892-C04C-A7BD-8077FED78E7B}" uniqueName="15" name="Link Displays" queryTableFieldId="15" dataDxfId="23" totalsRowDxfId="3"/>
    <tableColumn id="19" xr3:uid="{2C72636B-EA2D-9B4F-901F-978E27C5BECF}" uniqueName="19" name="Links" queryTableFieldId="19" dataDxfId="22" totalsRowDxfId="2"/>
    <tableColumn id="17" xr3:uid="{98A2001C-0228-1A4D-93C7-D3C2983C9571}" uniqueName="17" name="Link Starts" queryTableFieldId="17" dataDxfId="21" totalsRowDxfId="1"/>
    <tableColumn id="18" xr3:uid="{8E0ACACF-A68B-DE45-8C48-D60D9805CECA}" uniqueName="18" name="Link Ends" queryTableFieldId="18" dataDxfId="20" totalsRow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5DF9C16-4850-5648-B8A7-FB963E57BB34}" name="Output" displayName="Output" ref="A2:A3" tableType="queryTable" insertRow="1" totalsRowShown="0" headerRowDxfId="19" dataDxfId="18">
  <autoFilter ref="A2:A3" xr:uid="{15DF9C16-4850-5648-B8A7-FB963E57BB34}"/>
  <tableColumns count="1">
    <tableColumn id="18" xr3:uid="{A3D85437-2A93-C349-94D3-4E3FFF08BC87}" uniqueName="18" name="Output" queryTableFieldId="18" dataDxf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s://regex101.com/r/zZ2pGI" TargetMode="External"/><Relationship Id="rId1" Type="http://schemas.openxmlformats.org/officeDocument/2006/relationships/hyperlink" Target="https://regex101.com/r/odLCz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DDB2-65CD-F84E-B4EE-5F53DC5D16EE}">
  <dimension ref="A1:D3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40.83203125" customWidth="1"/>
    <col min="2" max="2" width="10.83203125" style="1"/>
    <col min="3" max="3" width="68.33203125" bestFit="1" customWidth="1"/>
    <col min="4" max="4" width="10.83203125" style="1"/>
  </cols>
  <sheetData>
    <row r="1" spans="1:3" ht="24" x14ac:dyDescent="0.3">
      <c r="A1" s="11" t="s">
        <v>0</v>
      </c>
      <c r="C1" s="11" t="s">
        <v>1</v>
      </c>
    </row>
    <row r="2" spans="1:3" x14ac:dyDescent="0.2">
      <c r="A2" t="s">
        <v>18</v>
      </c>
      <c r="C2" t="s">
        <v>18</v>
      </c>
    </row>
    <row r="3" spans="1:3" x14ac:dyDescent="0.2">
      <c r="A3" s="5"/>
      <c r="C3" s="5"/>
    </row>
  </sheetData>
  <hyperlinks>
    <hyperlink ref="A1" r:id="rId1" xr:uid="{DF128B13-CE4B-F549-BD4E-F46DB4578157}"/>
    <hyperlink ref="C1" r:id="rId2" xr:uid="{12550AD9-5580-D049-A3F9-E100AC1B8B04}"/>
  </hyperlinks>
  <pageMargins left="0.7" right="0.7" top="0.75" bottom="0.75" header="0.3" footer="0.3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0B014-D473-A042-A4A4-0B1EDD2CBCF6}">
  <dimension ref="A1:Q4"/>
  <sheetViews>
    <sheetView workbookViewId="0">
      <pane xSplit="7" ySplit="2" topLeftCell="J3" activePane="bottomRight" state="frozen"/>
      <selection pane="topRight" activeCell="H1" sqref="H1"/>
      <selection pane="bottomLeft" activeCell="A3" sqref="A3"/>
      <selection pane="bottomRight" activeCell="A2" sqref="A2"/>
    </sheetView>
  </sheetViews>
  <sheetFormatPr baseColWidth="10" defaultColWidth="10.83203125" defaultRowHeight="16" outlineLevelCol="1" x14ac:dyDescent="0.2"/>
  <cols>
    <col min="1" max="1" width="8.33203125" bestFit="1" customWidth="1"/>
    <col min="2" max="2" width="15.1640625" bestFit="1" customWidth="1"/>
    <col min="3" max="3" width="7.33203125" bestFit="1" customWidth="1"/>
    <col min="4" max="4" width="12.1640625" bestFit="1" customWidth="1"/>
    <col min="5" max="5" width="15" bestFit="1" customWidth="1"/>
    <col min="6" max="6" width="44.1640625" hidden="1" customWidth="1" outlineLevel="1"/>
    <col min="7" max="7" width="16.83203125" bestFit="1" customWidth="1" collapsed="1"/>
    <col min="8" max="8" width="175.5" hidden="1" customWidth="1" outlineLevel="1"/>
    <col min="9" max="9" width="197.33203125" hidden="1" customWidth="1" outlineLevel="1"/>
    <col min="10" max="10" width="7.6640625" bestFit="1" customWidth="1" collapsed="1"/>
    <col min="11" max="11" width="6.6640625" bestFit="1" customWidth="1"/>
    <col min="12" max="12" width="13" bestFit="1" customWidth="1"/>
    <col min="13" max="13" width="15.1640625" bestFit="1" customWidth="1"/>
    <col min="14" max="14" width="26" bestFit="1" customWidth="1"/>
    <col min="15" max="15" width="44.1640625" hidden="1" customWidth="1" outlineLevel="1"/>
    <col min="16" max="16" width="12.33203125" bestFit="1" customWidth="1" collapsed="1"/>
    <col min="17" max="17" width="11.33203125" bestFit="1" customWidth="1"/>
  </cols>
  <sheetData>
    <row r="1" spans="1:17" ht="24" x14ac:dyDescent="0.3">
      <c r="A1" s="14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x14ac:dyDescent="0.2">
      <c r="A2" t="s">
        <v>3</v>
      </c>
      <c r="B2" t="s">
        <v>2</v>
      </c>
      <c r="C2" t="s">
        <v>20</v>
      </c>
      <c r="D2" t="s">
        <v>16</v>
      </c>
      <c r="E2" t="s">
        <v>8</v>
      </c>
      <c r="F2" t="s">
        <v>14</v>
      </c>
      <c r="G2" t="s">
        <v>15</v>
      </c>
      <c r="H2" t="s">
        <v>4</v>
      </c>
      <c r="I2" t="s">
        <v>5</v>
      </c>
      <c r="J2" t="s">
        <v>6</v>
      </c>
      <c r="K2" t="s">
        <v>7</v>
      </c>
      <c r="L2" t="s">
        <v>9</v>
      </c>
      <c r="M2" t="s">
        <v>10</v>
      </c>
      <c r="N2" t="s">
        <v>11</v>
      </c>
      <c r="O2" t="s">
        <v>1</v>
      </c>
      <c r="P2" t="s">
        <v>12</v>
      </c>
      <c r="Q2" t="s">
        <v>13</v>
      </c>
    </row>
    <row r="3" spans="1:17" x14ac:dyDescent="0.2">
      <c r="A3" s="3"/>
      <c r="B3" s="6"/>
      <c r="C3" s="13"/>
      <c r="D3" s="3"/>
      <c r="E3" s="3"/>
      <c r="F3" s="6"/>
      <c r="G3" s="3"/>
      <c r="H3" s="6"/>
      <c r="I3" s="6"/>
      <c r="J3" s="3"/>
      <c r="K3" s="3"/>
      <c r="L3" s="4"/>
      <c r="M3" s="7"/>
      <c r="N3" s="7"/>
      <c r="O3" s="7"/>
      <c r="P3" s="4"/>
      <c r="Q3" s="4"/>
    </row>
    <row r="4" spans="1:17" x14ac:dyDescent="0.2">
      <c r="A4" s="9" t="s">
        <v>17</v>
      </c>
      <c r="B4" s="10">
        <f>SUBTOTAL(103,Bibliography[Label])</f>
        <v>0</v>
      </c>
      <c r="C4" s="10"/>
      <c r="D4" s="3">
        <f>SUBTOTAL(109,Bibliography[Link Count])</f>
        <v>0</v>
      </c>
      <c r="E4" s="3"/>
      <c r="F4" s="6"/>
      <c r="G4" s="3">
        <f>SUBTOTAL(105,Bibliography[Earliest Position])</f>
        <v>0</v>
      </c>
      <c r="H4" s="6"/>
      <c r="I4" s="6"/>
      <c r="J4" s="3">
        <f>SUBTOTAL(105,Bibliography[Start])</f>
        <v>0</v>
      </c>
      <c r="K4" s="3">
        <f>SUBTOTAL(104,Bibliography[End])</f>
        <v>0</v>
      </c>
      <c r="L4" s="4"/>
      <c r="M4" s="7"/>
      <c r="N4" s="7"/>
      <c r="O4" s="7"/>
      <c r="P4" s="4"/>
      <c r="Q4" s="4"/>
    </row>
  </sheetData>
  <mergeCells count="1">
    <mergeCell ref="A1:Q1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A64F-EA8F-2341-A0BB-6FF890A81C94}"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19</v>
      </c>
    </row>
    <row r="2" spans="1:1" x14ac:dyDescent="0.2">
      <c r="A2" s="12" t="s">
        <v>19</v>
      </c>
    </row>
    <row r="3" spans="1:1" x14ac:dyDescent="0.2">
      <c r="A3" s="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Bibliography</vt:lpstr>
      <vt:lpstr>Output</vt:lpstr>
      <vt:lpstr>Bibliography.Data</vt:lpstr>
      <vt:lpstr>Bibliography.Headers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2025-08-20T06:31:33Z</dcterms:modified>
</cp:coreProperties>
</file>